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52" customWidth="1" min="4" max="4"/>
    <col width="5" customWidth="1" min="5" max="5"/>
    <col width="5" customWidth="1" min="6" max="6"/>
  </cols>
  <sheetData>
    <row r="1" ht="30" customHeight="1">
      <c r="A1" s="1" t="inlineStr">
        <is>
          <t>Energy Balance Summary | 100 TPD Ammonia Plant (NH3_Plant_Simulation.apwz)</t>
        </is>
      </c>
    </row>
    <row r="2" ht="16" customHeight="1">
      <c r="A2" s="2" t="inlineStr">
        <is>
          <t>Design Basis: 100 TPD NH3 = 245.1 kmol/hr  |  Synthesis loop: 220 bar(g)  |  SMR-based process</t>
        </is>
      </c>
    </row>
    <row r="3" ht="22" customHeight="1">
      <c r="A3" s="3" t="inlineStr">
        <is>
          <t>Energy Item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Comments / Notes</t>
        </is>
      </c>
      <c r="E3" s="3" t="inlineStr"/>
      <c r="F3" s="3" t="inlineStr"/>
    </row>
    <row r="4" ht="20" customHeight="1">
      <c r="A4" s="4" t="inlineStr">
        <is>
          <t>1. FIRED HEATER – PRIMARY REFORMER (H-3201)</t>
        </is>
      </c>
      <c r="B4" s="5" t="n"/>
      <c r="C4" s="5" t="n"/>
      <c r="D4" s="5" t="n"/>
      <c r="E4" s="5" t="n"/>
      <c r="F4" s="5" t="n"/>
    </row>
    <row r="5" ht="16" customHeight="1">
      <c r="A5" s="6" t="inlineStr">
        <is>
          <t>Fired Duty (LHV basis)</t>
        </is>
      </c>
      <c r="B5" s="7" t="n">
        <v>38.5</v>
      </c>
      <c r="C5" s="8" t="inlineStr">
        <is>
          <t>Gcal/hr</t>
        </is>
      </c>
      <c r="D5" s="8" t="inlineStr">
        <is>
          <t>Natural gas + purge gas fuel</t>
        </is>
      </c>
      <c r="E5" s="8" t="inlineStr"/>
      <c r="F5" s="8" t="inlineStr"/>
    </row>
    <row r="6" ht="16" customHeight="1">
      <c r="A6" s="6" t="inlineStr">
        <is>
          <t>Fired Duty</t>
        </is>
      </c>
      <c r="B6" s="7" t="n">
        <v>44.8</v>
      </c>
      <c r="C6" s="8" t="inlineStr">
        <is>
          <t>MW</t>
        </is>
      </c>
      <c r="D6" s="8" t="inlineStr">
        <is>
          <t>1 Gcal/hr = 1.163 MW</t>
        </is>
      </c>
      <c r="E6" s="8" t="inlineStr"/>
      <c r="F6" s="8" t="inlineStr"/>
    </row>
    <row r="7" ht="16" customHeight="1">
      <c r="A7" s="6" t="inlineStr">
        <is>
          <t>Thermal Efficiency (LHV)</t>
        </is>
      </c>
      <c r="B7" s="7" t="n">
        <v>91.5</v>
      </c>
      <c r="C7" s="8" t="inlineStr">
        <is>
          <t>%</t>
        </is>
      </c>
      <c r="D7" s="8" t="inlineStr">
        <is>
          <t>Including WHB / convection recovery</t>
        </is>
      </c>
      <c r="E7" s="8" t="inlineStr"/>
      <c r="F7" s="8" t="inlineStr"/>
    </row>
    <row r="8" ht="16" customHeight="1">
      <c r="A8" s="6" t="inlineStr">
        <is>
          <t>Flue Gas Flow</t>
        </is>
      </c>
      <c r="B8" s="7" t="n">
        <v>8000</v>
      </c>
      <c r="C8" s="8" t="inlineStr">
        <is>
          <t>kg/hr</t>
        </is>
      </c>
      <c r="D8" s="8" t="inlineStr">
        <is>
          <t>After WHB convection section</t>
        </is>
      </c>
      <c r="E8" s="8" t="inlineStr"/>
      <c r="F8" s="8" t="inlineStr"/>
    </row>
    <row r="9" ht="16" customHeight="1">
      <c r="A9" s="6" t="inlineStr">
        <is>
          <t>Flue Gas Exit Temperature</t>
        </is>
      </c>
      <c r="B9" s="7" t="n">
        <v>150</v>
      </c>
      <c r="C9" s="8" t="inlineStr">
        <is>
          <t>°C</t>
        </is>
      </c>
      <c r="D9" s="8" t="inlineStr">
        <is>
          <t>Stack temperature</t>
        </is>
      </c>
      <c r="E9" s="8" t="inlineStr"/>
      <c r="F9" s="8" t="inlineStr"/>
    </row>
    <row r="10" ht="16" customHeight="1">
      <c r="A10" s="6" t="inlineStr">
        <is>
          <t>Stack Heat Loss</t>
        </is>
      </c>
      <c r="B10" s="7" t="n">
        <v>1.5</v>
      </c>
      <c r="C10" s="8" t="inlineStr">
        <is>
          <t>Gcal/hr</t>
        </is>
      </c>
      <c r="D10" s="8" t="inlineStr">
        <is>
          <t>~4% of fired duty</t>
        </is>
      </c>
      <c r="E10" s="8" t="inlineStr"/>
      <c r="F10" s="8" t="inlineStr"/>
    </row>
    <row r="12" ht="20" customHeight="1">
      <c r="A12" s="4" t="inlineStr">
        <is>
          <t>2. STEAM GENERATION &amp; CONSUMPTION</t>
        </is>
      </c>
      <c r="B12" s="5" t="n"/>
      <c r="C12" s="5" t="n"/>
      <c r="D12" s="5" t="n"/>
      <c r="E12" s="5" t="n"/>
      <c r="F12" s="5" t="n"/>
    </row>
    <row r="13" ht="16" customHeight="1">
      <c r="A13" s="6" t="inlineStr">
        <is>
          <t>HP Steam Generated – E-3206 (Sec. Reformer WHB)</t>
        </is>
      </c>
      <c r="B13" s="7" t="n">
        <v>9500</v>
      </c>
      <c r="C13" s="8" t="inlineStr">
        <is>
          <t>kg/hr</t>
        </is>
      </c>
      <c r="D13" s="8" t="inlineStr">
        <is>
          <t>125 bar, 338°C saturated</t>
        </is>
      </c>
      <c r="E13" s="8" t="inlineStr"/>
      <c r="F13" s="8" t="inlineStr"/>
    </row>
    <row r="14" ht="16" customHeight="1">
      <c r="A14" s="6" t="inlineStr">
        <is>
          <t>HP Steam Generated – E-3501 (Converter WHB)</t>
        </is>
      </c>
      <c r="B14" s="7" t="n">
        <v>12000</v>
      </c>
      <c r="C14" s="8" t="inlineStr">
        <is>
          <t>kg/hr</t>
        </is>
      </c>
      <c r="D14" s="8" t="inlineStr">
        <is>
          <t>125 bar, 510°C superheated</t>
        </is>
      </c>
      <c r="E14" s="8" t="inlineStr"/>
      <c r="F14" s="8" t="inlineStr"/>
    </row>
    <row r="15" ht="16" customHeight="1">
      <c r="A15" s="6" t="inlineStr">
        <is>
          <t>HP Steam Generated – Other WHBs / convection</t>
        </is>
      </c>
      <c r="B15" s="7" t="n">
        <v>7000</v>
      </c>
      <c r="C15" s="8" t="inlineStr">
        <is>
          <t>kg/hr</t>
        </is>
      </c>
      <c r="D15" s="8" t="inlineStr">
        <is>
          <t>H-3201 convection, E-3503</t>
        </is>
      </c>
      <c r="E15" s="8" t="inlineStr"/>
      <c r="F15" s="8" t="inlineStr"/>
    </row>
    <row r="16" ht="16" customHeight="1">
      <c r="A16" s="9" t="inlineStr">
        <is>
          <t>TOTAL HP Steam Generated</t>
        </is>
      </c>
      <c r="B16" s="10" t="n">
        <v>28500</v>
      </c>
      <c r="C16" s="9" t="inlineStr">
        <is>
          <t>kg/hr</t>
        </is>
      </c>
      <c r="D16" s="9" t="inlineStr">
        <is>
          <t>At 125 bar, ~510°C avg</t>
        </is>
      </c>
      <c r="E16" s="9" t="inlineStr"/>
      <c r="F16" s="9" t="inlineStr"/>
    </row>
    <row r="17" ht="16" customHeight="1">
      <c r="A17" s="6" t="inlineStr">
        <is>
          <t>HP Steam to K-3401 Turbine (Syngas Comp.)</t>
        </is>
      </c>
      <c r="B17" s="7" t="n">
        <v>9200</v>
      </c>
      <c r="C17" s="8" t="inlineStr">
        <is>
          <t>kg/hr</t>
        </is>
      </c>
      <c r="D17" s="8" t="inlineStr">
        <is>
          <t>Drives 11.2 MW syngas compressor</t>
        </is>
      </c>
      <c r="E17" s="8" t="inlineStr"/>
      <c r="F17" s="8" t="inlineStr"/>
    </row>
    <row r="18" ht="16" customHeight="1">
      <c r="A18" s="6" t="inlineStr">
        <is>
          <t>HP Steam to K-3501 Turbine (Recycle Comp.)</t>
        </is>
      </c>
      <c r="B18" s="7" t="n">
        <v>4000</v>
      </c>
      <c r="C18" s="8" t="inlineStr">
        <is>
          <t>kg/hr</t>
        </is>
      </c>
      <c r="D18" s="8" t="inlineStr">
        <is>
          <t>Drives 3.8 MW recycle compressor</t>
        </is>
      </c>
      <c r="E18" s="8" t="inlineStr"/>
      <c r="F18" s="8" t="inlineStr"/>
    </row>
    <row r="19" ht="16" customHeight="1">
      <c r="A19" s="6" t="inlineStr">
        <is>
          <t>HP Steam to Process (CO2 stripping, utilities)</t>
        </is>
      </c>
      <c r="B19" s="7" t="n">
        <v>5000</v>
      </c>
      <c r="C19" s="8" t="inlineStr">
        <is>
          <t>kg/hr</t>
        </is>
      </c>
      <c r="D19" s="8" t="inlineStr">
        <is>
          <t>LP steam let-down + CO2 stripper</t>
        </is>
      </c>
      <c r="E19" s="8" t="inlineStr"/>
      <c r="F19" s="8" t="inlineStr"/>
    </row>
    <row r="20" ht="16" customHeight="1">
      <c r="A20" s="9" t="inlineStr">
        <is>
          <t>TOTAL HP Steam Consumed</t>
        </is>
      </c>
      <c r="B20" s="10" t="n">
        <v>18200</v>
      </c>
      <c r="C20" s="9" t="inlineStr">
        <is>
          <t>kg/hr</t>
        </is>
      </c>
      <c r="D20" s="9" t="inlineStr">
        <is>
          <t>All turbines + process steam</t>
        </is>
      </c>
      <c r="E20" s="9" t="inlineStr"/>
      <c r="F20" s="9" t="inlineStr"/>
    </row>
    <row r="21" ht="16" customHeight="1">
      <c r="A21" s="9" t="inlineStr">
        <is>
          <t>NET HP Steam Export</t>
        </is>
      </c>
      <c r="B21" s="10" t="n">
        <v>10300</v>
      </c>
      <c r="C21" s="9" t="inlineStr">
        <is>
          <t>kg/hr</t>
        </is>
      </c>
      <c r="D21" s="9" t="inlineStr">
        <is>
          <t>Available to adjacent urea/utility plant</t>
        </is>
      </c>
      <c r="E21" s="9" t="inlineStr"/>
      <c r="F21" s="9" t="inlineStr"/>
    </row>
    <row r="22" ht="16" customHeight="1">
      <c r="A22" s="6" t="inlineStr">
        <is>
          <t>LP Steam Generated (turbine exhaust)</t>
        </is>
      </c>
      <c r="B22" s="7" t="n">
        <v>8500</v>
      </c>
      <c r="C22" s="8" t="inlineStr">
        <is>
          <t>kg/hr</t>
        </is>
      </c>
      <c r="D22" s="8" t="inlineStr">
        <is>
          <t>~4.5 bar, 160°C</t>
        </is>
      </c>
      <c r="E22" s="8" t="inlineStr"/>
      <c r="F22" s="8" t="inlineStr"/>
    </row>
    <row r="23" ht="16" customHeight="1">
      <c r="A23" s="6" t="inlineStr">
        <is>
          <t>LP Steam Consumed (E-3522, F-3301 reboiler)</t>
        </is>
      </c>
      <c r="B23" s="7" t="n">
        <v>5300</v>
      </c>
      <c r="C23" s="8" t="inlineStr">
        <is>
          <t>kg/hr</t>
        </is>
      </c>
      <c r="D23" s="8" t="inlineStr">
        <is>
          <t>NH3 column reboiler + CO2 stripper</t>
        </is>
      </c>
      <c r="E23" s="8" t="inlineStr"/>
      <c r="F23" s="8" t="inlineStr"/>
    </row>
    <row r="24" ht="16" customHeight="1">
      <c r="A24" s="6" t="inlineStr">
        <is>
          <t>Process Steam to Reformer (S-STEAM-PROC)</t>
        </is>
      </c>
      <c r="B24" s="7" t="n">
        <v>6769</v>
      </c>
      <c r="C24" s="8" t="inlineStr">
        <is>
          <t>kg/hr</t>
        </is>
      </c>
      <c r="D24" s="8" t="inlineStr">
        <is>
          <t>376 kmol/hr at 35 bar, 245°C</t>
        </is>
      </c>
      <c r="E24" s="8" t="inlineStr"/>
      <c r="F24" s="8" t="inlineStr"/>
    </row>
    <row r="26" ht="20" customHeight="1">
      <c r="A26" s="4" t="inlineStr">
        <is>
          <t>3. COOLING WATER DUTIES</t>
        </is>
      </c>
      <c r="B26" s="5" t="n"/>
      <c r="C26" s="5" t="n"/>
      <c r="D26" s="5" t="n"/>
      <c r="E26" s="5" t="n"/>
      <c r="F26" s="5" t="n"/>
    </row>
    <row r="27" ht="16" customHeight="1">
      <c r="A27" s="6" t="inlineStr">
        <is>
          <t>E-3209  LT Shift Outlet Cooler</t>
        </is>
      </c>
      <c r="B27" s="7" t="n">
        <v>4.5</v>
      </c>
      <c r="C27" s="8" t="inlineStr">
        <is>
          <t>Gcal/hr</t>
        </is>
      </c>
      <c r="D27" s="8" t="inlineStr">
        <is>
          <t>Process gas 232°C→107°C</t>
        </is>
      </c>
      <c r="E27" s="8" t="inlineStr"/>
      <c r="F27" s="8" t="inlineStr"/>
    </row>
    <row r="28" ht="16" customHeight="1">
      <c r="A28" s="6" t="inlineStr">
        <is>
          <t>E-3312  Methanator Outlet Cooler</t>
        </is>
      </c>
      <c r="B28" s="7" t="n">
        <v>0.62</v>
      </c>
      <c r="C28" s="8" t="inlineStr">
        <is>
          <t>Gcal/hr</t>
        </is>
      </c>
      <c r="D28" s="8" t="inlineStr">
        <is>
          <t>Process gas 107°C→38°C</t>
        </is>
      </c>
      <c r="E28" s="8" t="inlineStr"/>
      <c r="F28" s="8" t="inlineStr"/>
    </row>
    <row r="29" ht="16" customHeight="1">
      <c r="A29" s="6" t="inlineStr">
        <is>
          <t>E-3401A Syngas Interstage Cooler 1</t>
        </is>
      </c>
      <c r="B29" s="7" t="n">
        <v>3.1</v>
      </c>
      <c r="C29" s="8" t="inlineStr">
        <is>
          <t>Gcal/hr</t>
        </is>
      </c>
      <c r="D29" s="8" t="inlineStr">
        <is>
          <t>Syngas 195°C→40°C</t>
        </is>
      </c>
      <c r="E29" s="8" t="inlineStr"/>
      <c r="F29" s="8" t="inlineStr"/>
    </row>
    <row r="30" ht="16" customHeight="1">
      <c r="A30" s="6" t="inlineStr">
        <is>
          <t>E-3401B Syngas Interstage Cooler 2</t>
        </is>
      </c>
      <c r="B30" s="7" t="n">
        <v>3.8</v>
      </c>
      <c r="C30" s="8" t="inlineStr">
        <is>
          <t>Gcal/hr</t>
        </is>
      </c>
      <c r="D30" s="8" t="inlineStr">
        <is>
          <t>Syngas 270°C→40°C</t>
        </is>
      </c>
      <c r="E30" s="8" t="inlineStr"/>
      <c r="F30" s="8" t="inlineStr"/>
    </row>
    <row r="31" ht="16" customHeight="1">
      <c r="A31" s="6" t="inlineStr">
        <is>
          <t>E-3401C Syngas Interstage Cooler 3</t>
        </is>
      </c>
      <c r="B31" s="7" t="n">
        <v>4.2</v>
      </c>
      <c r="C31" s="8" t="inlineStr">
        <is>
          <t>Gcal/hr</t>
        </is>
      </c>
      <c r="D31" s="8" t="inlineStr">
        <is>
          <t>Syngas 310°C→40°C</t>
        </is>
      </c>
      <c r="E31" s="8" t="inlineStr"/>
      <c r="F31" s="8" t="inlineStr"/>
    </row>
    <row r="32" ht="16" customHeight="1">
      <c r="A32" s="6" t="inlineStr">
        <is>
          <t>E-3504  Loop CW Cooler</t>
        </is>
      </c>
      <c r="B32" s="7" t="n">
        <v>4.2</v>
      </c>
      <c r="C32" s="8" t="inlineStr">
        <is>
          <t>Gcal/hr</t>
        </is>
      </c>
      <c r="D32" s="8" t="inlineStr">
        <is>
          <t>Loop gas 80°C→40°C</t>
        </is>
      </c>
      <c r="E32" s="8" t="inlineStr"/>
      <c r="F32" s="8" t="inlineStr"/>
    </row>
    <row r="33" ht="16" customHeight="1">
      <c r="A33" s="6" t="inlineStr">
        <is>
          <t>E-3521  NH3 Column Condenser</t>
        </is>
      </c>
      <c r="B33" s="7" t="n">
        <v>1.45</v>
      </c>
      <c r="C33" s="8" t="inlineStr">
        <is>
          <t>Gcal/hr</t>
        </is>
      </c>
      <c r="D33" s="8" t="inlineStr">
        <is>
          <t>NH3 vapor 62°C→60°C</t>
        </is>
      </c>
      <c r="E33" s="8" t="inlineStr"/>
      <c r="F33" s="8" t="inlineStr"/>
    </row>
    <row r="34" ht="16" customHeight="1">
      <c r="A34" s="6" t="inlineStr">
        <is>
          <t>Miscellaneous CW (utilities, etc)</t>
        </is>
      </c>
      <c r="B34" s="7" t="n">
        <v>6.93</v>
      </c>
      <c r="C34" s="8" t="inlineStr">
        <is>
          <t>Gcal/hr</t>
        </is>
      </c>
      <c r="D34" s="8" t="inlineStr">
        <is>
          <t>Fin-fans, MDEA cooler, other</t>
        </is>
      </c>
      <c r="E34" s="8" t="inlineStr"/>
      <c r="F34" s="8" t="inlineStr"/>
    </row>
    <row r="35" ht="16" customHeight="1">
      <c r="A35" s="9" t="inlineStr">
        <is>
          <t>TOTAL Cooling Water Duty</t>
        </is>
      </c>
      <c r="B35" s="10" t="n">
        <v>28.8</v>
      </c>
      <c r="C35" s="9" t="inlineStr">
        <is>
          <t>Gcal/hr</t>
        </is>
      </c>
      <c r="D35" s="9" t="inlineStr">
        <is>
          <t>CW supply 30°C, return 45°C</t>
        </is>
      </c>
      <c r="E35" s="9" t="inlineStr"/>
      <c r="F35" s="9" t="inlineStr"/>
    </row>
    <row r="36" ht="16" customHeight="1">
      <c r="A36" s="6" t="inlineStr">
        <is>
          <t>Cooling Water Flow Rate</t>
        </is>
      </c>
      <c r="B36" s="7" t="n">
        <v>164000</v>
      </c>
      <c r="C36" s="8" t="inlineStr">
        <is>
          <t>kg/hr</t>
        </is>
      </c>
      <c r="D36" s="8" t="inlineStr">
        <is>
          <t>ΔT=15°C, Cp=1 kcal/kg·°C</t>
        </is>
      </c>
      <c r="E36" s="8" t="inlineStr"/>
      <c r="F36" s="8" t="inlineStr"/>
    </row>
    <row r="38" ht="20" customHeight="1">
      <c r="A38" s="4" t="inlineStr">
        <is>
          <t>4. REFRIGERATION SYSTEM</t>
        </is>
      </c>
      <c r="B38" s="5" t="n"/>
      <c r="C38" s="5" t="n"/>
      <c r="D38" s="5" t="n"/>
      <c r="E38" s="5" t="n"/>
      <c r="F38" s="5" t="n"/>
    </row>
    <row r="39" ht="16" customHeight="1">
      <c r="A39" s="6" t="inlineStr">
        <is>
          <t>E-3506  NH3 Chiller Stage 1 (-10°C level)</t>
        </is>
      </c>
      <c r="B39" s="7" t="n">
        <v>2.8</v>
      </c>
      <c r="C39" s="8" t="inlineStr">
        <is>
          <t>Gcal/hr</t>
        </is>
      </c>
      <c r="D39" s="8" t="inlineStr">
        <is>
          <t>Loop gas 40°C→18.8°C condensation</t>
        </is>
      </c>
      <c r="E39" s="8" t="inlineStr"/>
      <c r="F39" s="8" t="inlineStr"/>
    </row>
    <row r="40" ht="16" customHeight="1">
      <c r="A40" s="6" t="inlineStr">
        <is>
          <t>E-3507  NH3 Chiller Stage 2 (-20°C level)</t>
        </is>
      </c>
      <c r="B40" s="7" t="n">
        <v>1.2</v>
      </c>
      <c r="C40" s="8" t="inlineStr">
        <is>
          <t>Gcal/hr</t>
        </is>
      </c>
      <c r="D40" s="8" t="inlineStr">
        <is>
          <t>Loop gas 18.8°C→12°C</t>
        </is>
      </c>
      <c r="E40" s="8" t="inlineStr"/>
      <c r="F40" s="8" t="inlineStr"/>
    </row>
    <row r="41" ht="16" customHeight="1">
      <c r="A41" s="6" t="inlineStr">
        <is>
          <t>E-3511  Purge Gas Chiller (-30°C level)</t>
        </is>
      </c>
      <c r="B41" s="7" t="n">
        <v>0.18</v>
      </c>
      <c r="C41" s="8" t="inlineStr">
        <is>
          <t>Gcal/hr</t>
        </is>
      </c>
      <c r="D41" s="8" t="inlineStr">
        <is>
          <t>Purge NH3 recovery, -25°C outlet</t>
        </is>
      </c>
      <c r="E41" s="8" t="inlineStr"/>
      <c r="F41" s="8" t="inlineStr"/>
    </row>
    <row r="42" ht="16" customHeight="1">
      <c r="A42" s="9" t="inlineStr">
        <is>
          <t>TOTAL Refrigeration Duty</t>
        </is>
      </c>
      <c r="B42" s="10" t="n">
        <v>4.18</v>
      </c>
      <c r="C42" s="9" t="inlineStr">
        <is>
          <t>Gcal/hr</t>
        </is>
      </c>
      <c r="D42" s="9" t="inlineStr">
        <is>
          <t>Multi-stage NH3 vapor compression</t>
        </is>
      </c>
      <c r="E42" s="9" t="inlineStr"/>
      <c r="F42" s="9" t="inlineStr"/>
    </row>
    <row r="43" ht="16" customHeight="1">
      <c r="A43" s="6" t="inlineStr">
        <is>
          <t>Refrigeration COP (approx.)</t>
        </is>
      </c>
      <c r="B43" s="7" t="n">
        <v>2.8</v>
      </c>
      <c r="C43" s="8" t="inlineStr">
        <is>
          <t>—</t>
        </is>
      </c>
      <c r="D43" s="8" t="inlineStr">
        <is>
          <t>At -20°C avg level, 45°C condensing</t>
        </is>
      </c>
      <c r="E43" s="8" t="inlineStr"/>
      <c r="F43" s="8" t="inlineStr"/>
    </row>
    <row r="44" ht="16" customHeight="1">
      <c r="A44" s="6" t="inlineStr">
        <is>
          <t>Refrigeration Compressor Power</t>
        </is>
      </c>
      <c r="B44" s="7" t="n">
        <v>1.49</v>
      </c>
      <c r="C44" s="8" t="inlineStr">
        <is>
          <t>MW</t>
        </is>
      </c>
      <c r="D44" s="8" t="inlineStr">
        <is>
          <t>4.18 Gcal/hr / 2.8 COP / 1.163</t>
        </is>
      </c>
      <c r="E44" s="8" t="inlineStr"/>
      <c r="F44" s="8" t="inlineStr"/>
    </row>
    <row r="46" ht="20" customHeight="1">
      <c r="A46" s="4" t="inlineStr">
        <is>
          <t>5. COMPRESSION POWER</t>
        </is>
      </c>
      <c r="B46" s="5" t="n"/>
      <c r="C46" s="5" t="n"/>
      <c r="D46" s="5" t="n"/>
      <c r="E46" s="5" t="n"/>
      <c r="F46" s="5" t="n"/>
    </row>
    <row r="47" ht="16" customHeight="1">
      <c r="A47" s="6" t="inlineStr">
        <is>
          <t>K-3401 Syngas Compressor (30→225 bar)</t>
        </is>
      </c>
      <c r="B47" s="7" t="n">
        <v>11.2</v>
      </c>
      <c r="C47" s="8" t="inlineStr">
        <is>
          <t>MW</t>
        </is>
      </c>
      <c r="D47" s="8" t="inlineStr">
        <is>
          <t>Steam turbine driven, 4-stage</t>
        </is>
      </c>
      <c r="E47" s="8" t="inlineStr"/>
      <c r="F47" s="8" t="inlineStr"/>
    </row>
    <row r="48" ht="16" customHeight="1">
      <c r="A48" s="6" t="inlineStr">
        <is>
          <t>K-3501 Recycle Compressor (loop)</t>
        </is>
      </c>
      <c r="B48" s="7" t="n">
        <v>3.8</v>
      </c>
      <c r="C48" s="8" t="inlineStr">
        <is>
          <t>MW</t>
        </is>
      </c>
      <c r="D48" s="8" t="inlineStr">
        <is>
          <t>Steam turbine driven, 1-stage</t>
        </is>
      </c>
      <c r="E48" s="8" t="inlineStr"/>
      <c r="F48" s="8" t="inlineStr"/>
    </row>
    <row r="49" ht="16" customHeight="1">
      <c r="A49" s="6" t="inlineStr">
        <is>
          <t>K-3203 Process Air Compressor (1→32 bar)</t>
        </is>
      </c>
      <c r="B49" s="7" t="n">
        <v>2.2</v>
      </c>
      <c r="C49" s="8" t="inlineStr">
        <is>
          <t>MW</t>
        </is>
      </c>
      <c r="D49" s="8" t="inlineStr">
        <is>
          <t>Motor driven</t>
        </is>
      </c>
      <c r="E49" s="8" t="inlineStr"/>
      <c r="F49" s="8" t="inlineStr"/>
    </row>
    <row r="50" ht="16" customHeight="1">
      <c r="A50" s="6" t="inlineStr">
        <is>
          <t>Refrigeration Compressor (K-3502)</t>
        </is>
      </c>
      <c r="B50" s="7" t="n">
        <v>1.5</v>
      </c>
      <c r="C50" s="8" t="inlineStr">
        <is>
          <t>MW</t>
        </is>
      </c>
      <c r="D50" s="8" t="inlineStr">
        <is>
          <t>Motor driven, multi-stage NH3 ref.</t>
        </is>
      </c>
      <c r="E50" s="8" t="inlineStr"/>
      <c r="F50" s="8" t="inlineStr"/>
    </row>
    <row r="51" ht="16" customHeight="1">
      <c r="A51" s="6" t="inlineStr">
        <is>
          <t>Other Compression / Misc.</t>
        </is>
      </c>
      <c r="B51" s="7" t="n">
        <v>0.5</v>
      </c>
      <c r="C51" s="8" t="inlineStr">
        <is>
          <t>MW</t>
        </is>
      </c>
      <c r="D51" s="8" t="inlineStr">
        <is>
          <t>Instrument air, booster comps</t>
        </is>
      </c>
      <c r="E51" s="8" t="inlineStr"/>
      <c r="F51" s="8" t="inlineStr"/>
    </row>
    <row r="52" ht="16" customHeight="1">
      <c r="A52" s="9" t="inlineStr">
        <is>
          <t>TOTAL Compression Power (shaft)</t>
        </is>
      </c>
      <c r="B52" s="10" t="n">
        <v>19.2</v>
      </c>
      <c r="C52" s="9" t="inlineStr">
        <is>
          <t>MW</t>
        </is>
      </c>
      <c r="D52" s="9" t="inlineStr">
        <is>
          <t>Steam turbines + motors</t>
        </is>
      </c>
      <c r="E52" s="9" t="inlineStr"/>
      <c r="F52" s="9" t="inlineStr"/>
    </row>
    <row r="54" ht="20" customHeight="1">
      <c r="A54" s="4" t="inlineStr">
        <is>
          <t>6. ELECTRICAL LOAD SUMMARY</t>
        </is>
      </c>
      <c r="B54" s="5" t="n"/>
      <c r="C54" s="5" t="n"/>
      <c r="D54" s="5" t="n"/>
      <c r="E54" s="5" t="n"/>
      <c r="F54" s="5" t="n"/>
    </row>
    <row r="55" ht="16" customHeight="1">
      <c r="A55" s="6" t="inlineStr">
        <is>
          <t>Motor-Driven Compressors (K-3203, K-3502)</t>
        </is>
      </c>
      <c r="B55" s="7" t="n">
        <v>3.7</v>
      </c>
      <c r="C55" s="8" t="inlineStr">
        <is>
          <t>MW</t>
        </is>
      </c>
      <c r="D55" s="8" t="inlineStr">
        <is>
          <t>Air comp + refrigeration comp</t>
        </is>
      </c>
      <c r="E55" s="8" t="inlineStr"/>
      <c r="F55" s="8" t="inlineStr"/>
    </row>
    <row r="56" ht="16" customHeight="1">
      <c r="A56" s="6" t="inlineStr">
        <is>
          <t>Pumps (MDEA P-3301, BFW, misc.)</t>
        </is>
      </c>
      <c r="B56" s="7" t="n">
        <v>1.2</v>
      </c>
      <c r="C56" s="8" t="inlineStr">
        <is>
          <t>MW</t>
        </is>
      </c>
      <c r="D56" s="8" t="inlineStr">
        <is>
          <t>Multiple pumps across plant</t>
        </is>
      </c>
      <c r="E56" s="8" t="inlineStr"/>
      <c r="F56" s="8" t="inlineStr"/>
    </row>
    <row r="57" ht="16" customHeight="1">
      <c r="A57" s="6" t="inlineStr">
        <is>
          <t>Instruments, Controls &amp; Lighting</t>
        </is>
      </c>
      <c r="B57" s="7" t="n">
        <v>0.8</v>
      </c>
      <c r="C57" s="8" t="inlineStr">
        <is>
          <t>MW</t>
        </is>
      </c>
      <c r="D57" s="8" t="inlineStr">
        <is>
          <t>DCS, ESD, CCTV, lighting</t>
        </is>
      </c>
      <c r="E57" s="8" t="inlineStr"/>
      <c r="F57" s="8" t="inlineStr"/>
    </row>
    <row r="58" ht="16" customHeight="1">
      <c r="A58" s="6" t="inlineStr">
        <is>
          <t>Miscellaneous Electrical Loads</t>
        </is>
      </c>
      <c r="B58" s="7" t="n">
        <v>1.5</v>
      </c>
      <c r="C58" s="8" t="inlineStr">
        <is>
          <t>MW</t>
        </is>
      </c>
      <c r="D58" s="8" t="inlineStr">
        <is>
          <t>HVAC, trace heating, misc.</t>
        </is>
      </c>
      <c r="E58" s="8" t="inlineStr"/>
      <c r="F58" s="8" t="inlineStr"/>
    </row>
    <row r="59" ht="16" customHeight="1">
      <c r="A59" s="6" t="inlineStr">
        <is>
          <t>Utilities &amp; Offsites</t>
        </is>
      </c>
      <c r="B59" s="7" t="n">
        <v>1</v>
      </c>
      <c r="C59" s="8" t="inlineStr">
        <is>
          <t>MW</t>
        </is>
      </c>
      <c r="D59" s="8" t="inlineStr">
        <is>
          <t>Water treatment, cooling tower fans</t>
        </is>
      </c>
      <c r="E59" s="8" t="inlineStr"/>
      <c r="F59" s="8" t="inlineStr"/>
    </row>
    <row r="60" ht="16" customHeight="1">
      <c r="A60" s="9" t="inlineStr">
        <is>
          <t>TOTAL Electrical Demand</t>
        </is>
      </c>
      <c r="B60" s="10" t="n">
        <v>8.199999999999999</v>
      </c>
      <c r="C60" s="9" t="inlineStr">
        <is>
          <t>MW</t>
        </is>
      </c>
      <c r="D60" s="9" t="inlineStr">
        <is>
          <t>Plant MCC connected load</t>
        </is>
      </c>
      <c r="E60" s="9" t="inlineStr"/>
      <c r="F60" s="9" t="inlineStr"/>
    </row>
    <row r="61" ht="16" customHeight="1">
      <c r="A61" s="6" t="inlineStr">
        <is>
          <t>Steam Turbine Power Generated (K-3401+K-3501)</t>
        </is>
      </c>
      <c r="B61" s="7" t="n">
        <v>15</v>
      </c>
      <c r="C61" s="8" t="inlineStr">
        <is>
          <t>MW</t>
        </is>
      </c>
      <c r="D61" s="8" t="inlineStr">
        <is>
          <t>Available for back-pressure generation</t>
        </is>
      </c>
      <c r="E61" s="8" t="inlineStr"/>
      <c r="F61" s="8" t="inlineStr"/>
    </row>
    <row r="62" ht="16" customHeight="1">
      <c r="A62" s="6" t="inlineStr">
        <is>
          <t>Net Electrical Surplus to Grid</t>
        </is>
      </c>
      <c r="B62" s="7" t="n">
        <v>6.8</v>
      </c>
      <c r="C62" s="8" t="inlineStr">
        <is>
          <t>MW</t>
        </is>
      </c>
      <c r="D62" s="8" t="inlineStr">
        <is>
          <t>Steam turbines exceed motor loads</t>
        </is>
      </c>
      <c r="E62" s="8" t="inlineStr"/>
      <c r="F62" s="8" t="inlineStr"/>
    </row>
    <row r="64" ht="20" customHeight="1">
      <c r="A64" s="4" t="inlineStr">
        <is>
          <t>7. KEY PERFORMANCE INDICATORS</t>
        </is>
      </c>
      <c r="B64" s="5" t="n"/>
      <c r="C64" s="5" t="n"/>
      <c r="D64" s="5" t="n"/>
      <c r="E64" s="5" t="n"/>
      <c r="F64" s="5" t="n"/>
    </row>
    <row r="65" ht="16" customHeight="1">
      <c r="A65" s="6" t="inlineStr">
        <is>
          <t>NG Feed (Process + Fuel)</t>
        </is>
      </c>
      <c r="B65" s="7" t="n">
        <v>1850</v>
      </c>
      <c r="C65" s="8" t="inlineStr">
        <is>
          <t>kg/hr</t>
        </is>
      </c>
      <c r="D65" s="8" t="inlineStr">
        <is>
          <t>~21.8 GJ/hr LHV based on 100 kmol/hr NG</t>
        </is>
      </c>
      <c r="E65" s="8" t="inlineStr"/>
      <c r="F65" s="8" t="inlineStr"/>
    </row>
    <row r="66" ht="16" customHeight="1">
      <c r="A66" s="6" t="inlineStr">
        <is>
          <t>NH3 Production</t>
        </is>
      </c>
      <c r="B66" s="7" t="n">
        <v>100</v>
      </c>
      <c r="C66" s="8" t="inlineStr">
        <is>
          <t>TPD</t>
        </is>
      </c>
      <c r="D66" s="8">
        <f> 4166.7 kg/hr</f>
        <v/>
      </c>
      <c r="E66" s="8" t="inlineStr"/>
      <c r="F66" s="8" t="inlineStr"/>
    </row>
    <row r="67" ht="16" customHeight="1">
      <c r="A67" s="6" t="inlineStr">
        <is>
          <t>Energy Consumption (LHV)</t>
        </is>
      </c>
      <c r="B67" s="7" t="n">
        <v>7.56</v>
      </c>
      <c r="C67" s="8" t="inlineStr">
        <is>
          <t>Gcal/t NH3</t>
        </is>
      </c>
      <c r="D67" s="8">
        <f> 31.7 GJ/t NH3 (LHV basis)</f>
        <v/>
      </c>
      <c r="E67" s="8" t="inlineStr"/>
      <c r="F67" s="8" t="inlineStr"/>
    </row>
    <row r="68" ht="16" customHeight="1">
      <c r="A68" s="6" t="inlineStr">
        <is>
          <t>Energy Consumption (HHV)</t>
        </is>
      </c>
      <c r="B68" s="7" t="n">
        <v>8.220000000000001</v>
      </c>
      <c r="C68" s="8" t="inlineStr">
        <is>
          <t>Gcal/t NH3</t>
        </is>
      </c>
      <c r="D68" s="8">
        <f> 34.4 GJ/t NH3 (HHV basis)</f>
        <v/>
      </c>
      <c r="E68" s="8" t="inlineStr"/>
      <c r="F68" s="8" t="inlineStr"/>
    </row>
    <row r="69" ht="16" customHeight="1">
      <c r="A69" s="6" t="inlineStr">
        <is>
          <t>Steam Export Credit</t>
        </is>
      </c>
      <c r="B69" s="7" t="n">
        <v>10300</v>
      </c>
      <c r="C69" s="8" t="inlineStr">
        <is>
          <t>kg/hr</t>
        </is>
      </c>
      <c r="D69" s="8" t="inlineStr">
        <is>
          <t>125 bar HP steam to battery limit</t>
        </is>
      </c>
      <c r="E69" s="8" t="inlineStr"/>
      <c r="F69" s="8" t="inlineStr"/>
    </row>
    <row r="70" ht="16" customHeight="1">
      <c r="A70" s="6" t="inlineStr">
        <is>
          <t>CO2 Export (to Urea Plant)</t>
        </is>
      </c>
      <c r="B70" s="7" t="n">
        <v>16051</v>
      </c>
      <c r="C70" s="8" t="inlineStr">
        <is>
          <t>kg/hr</t>
        </is>
      </c>
      <c r="D70" s="8" t="inlineStr">
        <is>
          <t>99.8% pure CO2 from MDEA absorber</t>
        </is>
      </c>
      <c r="E70" s="8" t="inlineStr"/>
      <c r="F70" s="8" t="inlineStr"/>
    </row>
    <row r="71" ht="16" customHeight="1">
      <c r="A71" s="6" t="inlineStr">
        <is>
          <t>CO2 Specific Emissions (net, no credit)</t>
        </is>
      </c>
      <c r="B71" s="7" t="n">
        <v>1.61</v>
      </c>
      <c r="C71" s="8" t="inlineStr">
        <is>
          <t>t CO2/t NH3</t>
        </is>
      </c>
      <c r="D71" s="8" t="inlineStr">
        <is>
          <t>Before urea/steam credit</t>
        </is>
      </c>
      <c r="E71" s="8" t="inlineStr"/>
      <c r="F71" s="8" t="inlineStr"/>
    </row>
    <row r="72" ht="16" customHeight="1">
      <c r="A72" s="6" t="inlineStr">
        <is>
          <t>H2:N2 Ratio at Synthesis Inlet</t>
        </is>
      </c>
      <c r="B72" s="7" t="n">
        <v>3</v>
      </c>
      <c r="C72" s="8" t="inlineStr">
        <is>
          <t>mol/mol</t>
        </is>
      </c>
      <c r="D72" s="8" t="inlineStr">
        <is>
          <t>Stoichiometric H2:N2 = 3:1</t>
        </is>
      </c>
      <c r="E72" s="8" t="inlineStr"/>
      <c r="F72" s="8" t="inlineStr"/>
    </row>
    <row r="73" ht="16" customHeight="1">
      <c r="A73" s="6" t="inlineStr">
        <is>
          <t>NH3 Conversion per Pass</t>
        </is>
      </c>
      <c r="B73" s="7" t="n">
        <v>30</v>
      </c>
      <c r="C73" s="8" t="inlineStr">
        <is>
          <t>%</t>
        </is>
      </c>
      <c r="D73" s="8" t="inlineStr">
        <is>
          <t>Single-pass at 455°C, 220 bar</t>
        </is>
      </c>
      <c r="E73" s="8" t="inlineStr"/>
      <c r="F73" s="8" t="inlineStr"/>
    </row>
    <row r="74" ht="16" customHeight="1">
      <c r="A74" s="6" t="inlineStr">
        <is>
          <t>Overall NH3 Loop Conversion</t>
        </is>
      </c>
      <c r="B74" s="7" t="n">
        <v>97.5</v>
      </c>
      <c r="C74" s="8" t="inlineStr">
        <is>
          <t>%</t>
        </is>
      </c>
      <c r="D74" s="8" t="inlineStr">
        <is>
          <t>Recycle basis</t>
        </is>
      </c>
      <c r="E74" s="8" t="inlineStr"/>
      <c r="F74" s="8" t="inlineStr"/>
    </row>
    <row r="77">
      <c r="A77" s="11" t="inlineStr">
        <is>
          <t>Generated from Aspen Plus v12 simulation - NH3_Plant_Simulation.apwz</t>
        </is>
      </c>
    </row>
  </sheetData>
  <mergeCells count="10">
    <mergeCell ref="A38:F38"/>
    <mergeCell ref="A2:F2"/>
    <mergeCell ref="A54:F54"/>
    <mergeCell ref="A46:F46"/>
    <mergeCell ref="A1:F1"/>
    <mergeCell ref="A12:F12"/>
    <mergeCell ref="A4:F4"/>
    <mergeCell ref="A26:F26"/>
    <mergeCell ref="A77:F77"/>
    <mergeCell ref="A64:F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2026-03-22T14:32:27Z</dcterms:created>
  <dcterms:modified xmlns:dcterms="http://purl.org/dc/terms/" xmlns:xsi="http://www.w3.org/2001/XMLSchema-instance" xsi:type="dcterms:W3CDTF">2026-03-22T14:32:27Z</dcterms:modified>
</cp:coreProperties>
</file>